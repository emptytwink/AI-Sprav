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3418c34fd943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27bd360f26b425d"/>
    <x:sheet xmlns:r="http://schemas.openxmlformats.org/officeDocument/2006/relationships" name="Data" sheetId="2" r:id="R31c821157bd24ee7"/>
    <x:sheet xmlns:r="http://schemas.openxmlformats.org/officeDocument/2006/relationships" name="Reference" sheetId="3" r:id="Rd546aafde2354a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07175"/>
      </x:patternFill>
    </x:fill>
    <x:fill>
      <x:patternFill patternType="solid">
        <x:fgColor rgb="E6F4F1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b2bb4a60cc41ee" /><Relationship Type="http://schemas.openxmlformats.org/officeDocument/2006/relationships/theme" Target="/xl/theme/theme1.xml" Id="Rb228c62adc524bf8" /><Relationship Type="http://schemas.openxmlformats.org/officeDocument/2006/relationships/sharedStrings" Target="/xl/sharedStrings.xml" Id="R8bf1827451e94324" /><Relationship Type="http://schemas.openxmlformats.org/officeDocument/2006/relationships/worksheet" Target="/xl/worksheets/sheet1.xml" Id="Rf27bd360f26b425d" /><Relationship Type="http://schemas.openxmlformats.org/officeDocument/2006/relationships/worksheet" Target="/xl/worksheets/sheet2.xml" Id="R31c821157bd24ee7" /><Relationship Type="http://schemas.openxmlformats.org/officeDocument/2006/relationships/worksheet" Target="/xl/worksheets/sheet3.xml" Id="Rd546aafde2354afd" /></Relationships>
</file>

<file path=xl/tables/table1.xml><?xml version="1.0" encoding="utf-8"?>
<x:table xmlns:x="http://schemas.openxmlformats.org/spreadsheetml/2006/main" id="1" name="DataTable_Матрица_ролей_и_отве" displayName="DataTable_Матрица_ролей_и_отве" ref="A1:H21" headerRowCount="1">
  <x:tableColumns count="8">
    <x:tableColumn id="1" name="Код"/>
    <x:tableColumn id="2" name="Наименование"/>
    <x:tableColumn id="3" name="Приоритет"/>
    <x:tableColumn id="4" name="Статус"/>
    <x:tableColumn id="5" name="Дата контроля"/>
    <x:tableColumn id="6" name="Ответственный"/>
    <x:tableColumn id="7" name="План, ч"/>
    <x:tableColumn id="8" name="Факт, ч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f411aca6c2e45a0" /></Relationships>
</file>

<file path=xl/worksheets/sheet1.xml><?xml version="1.0" encoding="utf-8"?>
<x:worksheet xmlns:x="http://schemas.openxmlformats.org/spreadsheetml/2006/main">
  <x:sheetFormatPr defaultRowHeight="15"/>
  <x:cols>
    <x:col min="1" max="1" width="37.41999816894531" hidden="0" customWidth="1"/>
    <x:col min="2" max="2" width="42" hidden="0" customWidth="1"/>
  </x:cols>
  <x:sheetData>
    <x:row r="1" ht="28" customHeight="1">
      <x:c r="A1" s="5" t="str">
        <x:v>Матрица ролей и ответственности</x:v>
      </x:c>
    </x:row>
    <x:row r="3">
      <x:c r="A3" s="11" t="str">
        <x:v>Комплекс</x:v>
      </x:c>
      <x:c r="B3" s="14" t="str">
        <x:v>КСД-01 «Вектор»</x:v>
      </x:c>
    </x:row>
    <x:row r="4">
      <x:c r="A4" s="11" t="str">
        <x:v>Раздел</x:v>
      </x:c>
      <x:c r="B4" s="14" t="str">
        <x:v>Термины и роли</x:v>
      </x:c>
    </x:row>
    <x:row r="5">
      <x:c r="A5" s="11" t="str">
        <x:v>Назначение</x:v>
      </x:c>
      <x:c r="B5" s="14" t="str">
        <x:v>Связывает роли пользователей с функциями комплекса, правами доступа и зонами ответственности.</x:v>
      </x:c>
    </x:row>
    <x:row r="6">
      <x:c r="A6" s="11" t="str">
        <x:v>Тема</x:v>
      </x:c>
      <x:c r="B6" s="14" t="str">
        <x:v>матрица ролей</x:v>
      </x:c>
    </x:row>
    <x:row r="7">
      <x:c r="A7" s="11" t="str">
        <x:v>Дата</x:v>
      </x:c>
      <x:c r="B7" s="14" t="str">
        <x:v>2026-05-12</x:v>
      </x:c>
    </x:row>
    <x:row r="8">
      <x:c r="A8" s="11" t="str">
        <x:v>Контроль</x:v>
      </x:c>
      <x:c r="B8" s="14" t="str">
        <x:v>Файл используется для проверки ИИ-классификации Excel-документов</x:v>
      </x:c>
    </x:row>
    <x:row r="10">
      <x:c r="A10" s="16" t="str">
        <x:v>Показатель</x:v>
      </x:c>
      <x:c r="B10" s="16" t="str">
        <x:v>Значение</x:v>
      </x:c>
    </x:row>
    <x:row r="11">
      <x:c r="A11" t="str">
        <x:v>Всего записей</x:v>
      </x:c>
      <x:c r="B11" t="n">
        <x:f>COUNTA(Data!A2:A500)</x:f>
        <x:v>20</x:v>
      </x:c>
    </x:row>
    <x:row r="12">
      <x:c r="A12" t="str">
        <x:v>Плановые трудозатраты</x:v>
      </x:c>
      <x:c r="B12" t="n">
        <x:f>SUM(Data!G2:G500)</x:f>
        <x:v>620</x:v>
      </x:c>
    </x:row>
    <x:row r="13">
      <x:c r="A13" t="str">
        <x:v>Фактические трудозатраты</x:v>
      </x:c>
      <x:c r="B13" t="n">
        <x:f>SUM(Data!H2:H500)</x:f>
        <x:v>370</x:v>
      </x:c>
    </x:row>
    <x:row r="14">
      <x:c r="A14" t="str">
        <x:v>Отклонение</x:v>
      </x:c>
      <x:c r="B14" t="n">
        <x:f>B13-B12</x:f>
        <x:v>-250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.460000038146973" hidden="0" customWidth="1"/>
    <x:col min="2" max="2" width="36" hidden="0" customWidth="1"/>
    <x:col min="3" max="3" width="9.020000457763672" hidden="0" customWidth="1"/>
    <x:col min="4" max="4" width="15.609999656677246" hidden="0" customWidth="1"/>
    <x:col min="5" max="5" width="12.380000114440918" hidden="0" customWidth="1"/>
    <x:col min="6" max="6" width="13.0600004196167" hidden="0" customWidth="1"/>
    <x:col min="7" max="7" width="6.190000057220459" hidden="0" customWidth="1"/>
    <x:col min="8" max="8" width="5.920000076293945" hidden="0" customWidth="1"/>
  </x:cols>
  <x:sheetData>
    <x:row r="1">
      <x:c r="A1" s="18" t="str">
        <x:v>Код</x:v>
      </x:c>
      <x:c r="B1" s="18" t="str">
        <x:v>Наименование</x:v>
      </x:c>
      <x:c r="C1" s="18" t="str">
        <x:v>Приоритет</x:v>
      </x:c>
      <x:c r="D1" s="18" t="str">
        <x:v>Статус</x:v>
      </x:c>
      <x:c r="E1" s="18" t="str">
        <x:v>Дата контроля</x:v>
      </x:c>
      <x:c r="F1" s="18" t="str">
        <x:v>Ответственный</x:v>
      </x:c>
      <x:c r="G1" s="18" t="str">
        <x:v>План, ч</x:v>
      </x:c>
      <x:c r="H1" s="18" t="str">
        <x:v>Факт, ч</x:v>
      </x:c>
    </x:row>
    <x:row r="2">
      <x:c r="A2" t="str">
        <x:v>ТЕР-001</x:v>
      </x:c>
      <x:c r="B2" t="str">
        <x:v>Термины и роли по теме «матрица ролей» №1</x:v>
      </x:c>
      <x:c r="C2" t="str">
        <x:v>Средний</x:v>
      </x:c>
      <x:c r="D2" t="str">
        <x:v>В работе</x:v>
      </x:c>
      <x:c r="E2" s="20" t="str">
        <x:v>2026-01-13</x:v>
      </x:c>
      <x:c r="F2" t="str">
        <x:v>Администратор</x:v>
      </x:c>
      <x:c r="G2" t="n">
        <x:v>12</x:v>
      </x:c>
      <x:c r="H2" t="n">
        <x:v>9</x:v>
      </x:c>
    </x:row>
    <x:row r="3">
      <x:c r="A3" t="str">
        <x:v>ТЕР-002</x:v>
      </x:c>
      <x:c r="B3" t="str">
        <x:v>Термины и роли по теме «матрица ролей» №2</x:v>
      </x:c>
      <x:c r="C3" t="str">
        <x:v>Низкий</x:v>
      </x:c>
      <x:c r="D3" t="str">
        <x:v>Проверено</x:v>
      </x:c>
      <x:c r="E3" s="20" t="str">
        <x:v>2026-01-16</x:v>
      </x:c>
      <x:c r="F3" t="str">
        <x:v>Оператор</x:v>
      </x:c>
      <x:c r="G3" t="n">
        <x:v>14</x:v>
      </x:c>
      <x:c r="H3" t="n">
        <x:v>10</x:v>
      </x:c>
    </x:row>
    <x:row r="4">
      <x:c r="A4" t="str">
        <x:v>ТЕР-003</x:v>
      </x:c>
      <x:c r="B4" t="str">
        <x:v>Термины и роли по теме «матрица ролей» №3</x:v>
      </x:c>
      <x:c r="C4" t="str">
        <x:v>Высокий</x:v>
      </x:c>
      <x:c r="D4" t="str">
        <x:v>Требует уточнения</x:v>
      </x:c>
      <x:c r="E4" s="20" t="str">
        <x:v>2026-01-19</x:v>
      </x:c>
      <x:c r="F4" t="str">
        <x:v>Техподдержка</x:v>
      </x:c>
      <x:c r="G4" t="n">
        <x:v>16</x:v>
      </x:c>
      <x:c r="H4" t="n">
        <x:v>11</x:v>
      </x:c>
    </x:row>
    <x:row r="5">
      <x:c r="A5" t="str">
        <x:v>ТЕР-004</x:v>
      </x:c>
      <x:c r="B5" t="str">
        <x:v>Термины и роли по теме «матрица ролей» №4</x:v>
      </x:c>
      <x:c r="C5" t="str">
        <x:v>Средний</x:v>
      </x:c>
      <x:c r="D5" t="str">
        <x:v>Запланировано</x:v>
      </x:c>
      <x:c r="E5" s="20" t="str">
        <x:v>2026-01-22</x:v>
      </x:c>
      <x:c r="F5" t="str">
        <x:v>Инженер</x:v>
      </x:c>
      <x:c r="G5" t="n">
        <x:v>18</x:v>
      </x:c>
      <x:c r="H5" t="n">
        <x:v>12</x:v>
      </x:c>
    </x:row>
    <x:row r="6">
      <x:c r="A6" t="str">
        <x:v>ТЕР-005</x:v>
      </x:c>
      <x:c r="B6" t="str">
        <x:v>Термины и роли по теме «матрица ролей» №5</x:v>
      </x:c>
      <x:c r="C6" t="str">
        <x:v>Низкий</x:v>
      </x:c>
      <x:c r="D6" t="str">
        <x:v>В работе</x:v>
      </x:c>
      <x:c r="E6" s="20" t="str">
        <x:v>2026-01-25</x:v>
      </x:c>
      <x:c r="F6" t="str">
        <x:v>Администратор</x:v>
      </x:c>
      <x:c r="G6" t="n">
        <x:v>20</x:v>
      </x:c>
      <x:c r="H6" t="n">
        <x:v>13</x:v>
      </x:c>
    </x:row>
    <x:row r="7">
      <x:c r="A7" t="str">
        <x:v>ТЕР-006</x:v>
      </x:c>
      <x:c r="B7" t="str">
        <x:v>Термины и роли по теме «матрица ролей» №6</x:v>
      </x:c>
      <x:c r="C7" t="str">
        <x:v>Высокий</x:v>
      </x:c>
      <x:c r="D7" t="str">
        <x:v>Проверено</x:v>
      </x:c>
      <x:c r="E7" s="20" t="str">
        <x:v>2026-01-28</x:v>
      </x:c>
      <x:c r="F7" t="str">
        <x:v>Оператор</x:v>
      </x:c>
      <x:c r="G7" t="n">
        <x:v>22</x:v>
      </x:c>
      <x:c r="H7" t="n">
        <x:v>14</x:v>
      </x:c>
    </x:row>
    <x:row r="8">
      <x:c r="A8" t="str">
        <x:v>ТЕР-007</x:v>
      </x:c>
      <x:c r="B8" t="str">
        <x:v>Термины и роли по теме «матрица ролей» №7</x:v>
      </x:c>
      <x:c r="C8" t="str">
        <x:v>Средний</x:v>
      </x:c>
      <x:c r="D8" t="str">
        <x:v>Требует уточнения</x:v>
      </x:c>
      <x:c r="E8" s="20" t="str">
        <x:v>2026-01-31</x:v>
      </x:c>
      <x:c r="F8" t="str">
        <x:v>Техподдержка</x:v>
      </x:c>
      <x:c r="G8" t="n">
        <x:v>24</x:v>
      </x:c>
      <x:c r="H8" t="n">
        <x:v>15</x:v>
      </x:c>
    </x:row>
    <x:row r="9">
      <x:c r="A9" t="str">
        <x:v>ТЕР-008</x:v>
      </x:c>
      <x:c r="B9" t="str">
        <x:v>Термины и роли по теме «матрица ролей» №8</x:v>
      </x:c>
      <x:c r="C9" t="str">
        <x:v>Низкий</x:v>
      </x:c>
      <x:c r="D9" t="str">
        <x:v>Запланировано</x:v>
      </x:c>
      <x:c r="E9" s="20" t="str">
        <x:v>2026-02-03</x:v>
      </x:c>
      <x:c r="F9" t="str">
        <x:v>Инженер</x:v>
      </x:c>
      <x:c r="G9" t="n">
        <x:v>26</x:v>
      </x:c>
      <x:c r="H9" t="n">
        <x:v>16</x:v>
      </x:c>
    </x:row>
    <x:row r="10">
      <x:c r="A10" t="str">
        <x:v>ТЕР-009</x:v>
      </x:c>
      <x:c r="B10" t="str">
        <x:v>Термины и роли по теме «матрица ролей» №9</x:v>
      </x:c>
      <x:c r="C10" t="str">
        <x:v>Высокий</x:v>
      </x:c>
      <x:c r="D10" t="str">
        <x:v>В работе</x:v>
      </x:c>
      <x:c r="E10" s="20" t="str">
        <x:v>2026-02-06</x:v>
      </x:c>
      <x:c r="F10" t="str">
        <x:v>Администратор</x:v>
      </x:c>
      <x:c r="G10" t="n">
        <x:v>28</x:v>
      </x:c>
      <x:c r="H10" t="n">
        <x:v>17</x:v>
      </x:c>
    </x:row>
    <x:row r="11">
      <x:c r="A11" t="str">
        <x:v>ТЕР-010</x:v>
      </x:c>
      <x:c r="B11" t="str">
        <x:v>Термины и роли по теме «матрица ролей» №10</x:v>
      </x:c>
      <x:c r="C11" t="str">
        <x:v>Средний</x:v>
      </x:c>
      <x:c r="D11" t="str">
        <x:v>Проверено</x:v>
      </x:c>
      <x:c r="E11" s="20" t="str">
        <x:v>2026-02-09</x:v>
      </x:c>
      <x:c r="F11" t="str">
        <x:v>Оператор</x:v>
      </x:c>
      <x:c r="G11" t="n">
        <x:v>30</x:v>
      </x:c>
      <x:c r="H11" t="n">
        <x:v>18</x:v>
      </x:c>
    </x:row>
    <x:row r="12">
      <x:c r="A12" t="str">
        <x:v>ТЕР-011</x:v>
      </x:c>
      <x:c r="B12" t="str">
        <x:v>Термины и роли по теме «матрица ролей» №11</x:v>
      </x:c>
      <x:c r="C12" t="str">
        <x:v>Низкий</x:v>
      </x:c>
      <x:c r="D12" t="str">
        <x:v>Требует уточнения</x:v>
      </x:c>
      <x:c r="E12" s="20" t="str">
        <x:v>2026-02-12</x:v>
      </x:c>
      <x:c r="F12" t="str">
        <x:v>Техподдержка</x:v>
      </x:c>
      <x:c r="G12" t="n">
        <x:v>32</x:v>
      </x:c>
      <x:c r="H12" t="n">
        <x:v>19</x:v>
      </x:c>
    </x:row>
    <x:row r="13">
      <x:c r="A13" t="str">
        <x:v>ТЕР-012</x:v>
      </x:c>
      <x:c r="B13" t="str">
        <x:v>Термины и роли по теме «матрица ролей» №12</x:v>
      </x:c>
      <x:c r="C13" t="str">
        <x:v>Высокий</x:v>
      </x:c>
      <x:c r="D13" t="str">
        <x:v>Запланировано</x:v>
      </x:c>
      <x:c r="E13" s="20" t="str">
        <x:v>2026-02-15</x:v>
      </x:c>
      <x:c r="F13" t="str">
        <x:v>Инженер</x:v>
      </x:c>
      <x:c r="G13" t="n">
        <x:v>34</x:v>
      </x:c>
      <x:c r="H13" t="n">
        <x:v>20</x:v>
      </x:c>
    </x:row>
    <x:row r="14">
      <x:c r="A14" t="str">
        <x:v>ТЕР-013</x:v>
      </x:c>
      <x:c r="B14" t="str">
        <x:v>Термины и роли по теме «матрица ролей» №13</x:v>
      </x:c>
      <x:c r="C14" t="str">
        <x:v>Средний</x:v>
      </x:c>
      <x:c r="D14" t="str">
        <x:v>В работе</x:v>
      </x:c>
      <x:c r="E14" s="20" t="str">
        <x:v>2026-02-18</x:v>
      </x:c>
      <x:c r="F14" t="str">
        <x:v>Администратор</x:v>
      </x:c>
      <x:c r="G14" t="n">
        <x:v>36</x:v>
      </x:c>
      <x:c r="H14" t="n">
        <x:v>21</x:v>
      </x:c>
    </x:row>
    <x:row r="15">
      <x:c r="A15" t="str">
        <x:v>ТЕР-014</x:v>
      </x:c>
      <x:c r="B15" t="str">
        <x:v>Термины и роли по теме «матрица ролей» №14</x:v>
      </x:c>
      <x:c r="C15" t="str">
        <x:v>Низкий</x:v>
      </x:c>
      <x:c r="D15" t="str">
        <x:v>Проверено</x:v>
      </x:c>
      <x:c r="E15" s="20" t="str">
        <x:v>2026-02-21</x:v>
      </x:c>
      <x:c r="F15" t="str">
        <x:v>Оператор</x:v>
      </x:c>
      <x:c r="G15" t="n">
        <x:v>38</x:v>
      </x:c>
      <x:c r="H15" t="n">
        <x:v>22</x:v>
      </x:c>
    </x:row>
    <x:row r="16">
      <x:c r="A16" t="str">
        <x:v>ТЕР-015</x:v>
      </x:c>
      <x:c r="B16" t="str">
        <x:v>Термины и роли по теме «матрица ролей» №15</x:v>
      </x:c>
      <x:c r="C16" t="str">
        <x:v>Высокий</x:v>
      </x:c>
      <x:c r="D16" t="str">
        <x:v>Требует уточнения</x:v>
      </x:c>
      <x:c r="E16" s="20" t="str">
        <x:v>2026-02-24</x:v>
      </x:c>
      <x:c r="F16" t="str">
        <x:v>Техподдержка</x:v>
      </x:c>
      <x:c r="G16" t="n">
        <x:v>40</x:v>
      </x:c>
      <x:c r="H16" t="n">
        <x:v>23</x:v>
      </x:c>
    </x:row>
    <x:row r="17">
      <x:c r="A17" t="str">
        <x:v>ТЕР-016</x:v>
      </x:c>
      <x:c r="B17" t="str">
        <x:v>Термины и роли по теме «матрица ролей» №16</x:v>
      </x:c>
      <x:c r="C17" t="str">
        <x:v>Средний</x:v>
      </x:c>
      <x:c r="D17" t="str">
        <x:v>Запланировано</x:v>
      </x:c>
      <x:c r="E17" s="20" t="str">
        <x:v>2026-02-27</x:v>
      </x:c>
      <x:c r="F17" t="str">
        <x:v>Инженер</x:v>
      </x:c>
      <x:c r="G17" t="n">
        <x:v>42</x:v>
      </x:c>
      <x:c r="H17" t="n">
        <x:v>24</x:v>
      </x:c>
    </x:row>
    <x:row r="18">
      <x:c r="A18" t="str">
        <x:v>ТЕР-017</x:v>
      </x:c>
      <x:c r="B18" t="str">
        <x:v>Термины и роли по теме «матрица ролей» №17</x:v>
      </x:c>
      <x:c r="C18" t="str">
        <x:v>Низкий</x:v>
      </x:c>
      <x:c r="D18" t="str">
        <x:v>В работе</x:v>
      </x:c>
      <x:c r="E18" s="20" t="str">
        <x:v>2026-03-02</x:v>
      </x:c>
      <x:c r="F18" t="str">
        <x:v>Администратор</x:v>
      </x:c>
      <x:c r="G18" t="n">
        <x:v>44</x:v>
      </x:c>
      <x:c r="H18" t="n">
        <x:v>25</x:v>
      </x:c>
    </x:row>
    <x:row r="19">
      <x:c r="A19" t="str">
        <x:v>ТЕР-018</x:v>
      </x:c>
      <x:c r="B19" t="str">
        <x:v>Термины и роли по теме «матрица ролей» №18</x:v>
      </x:c>
      <x:c r="C19" t="str">
        <x:v>Высокий</x:v>
      </x:c>
      <x:c r="D19" t="str">
        <x:v>Проверено</x:v>
      </x:c>
      <x:c r="E19" s="20" t="str">
        <x:v>2026-03-05</x:v>
      </x:c>
      <x:c r="F19" t="str">
        <x:v>Оператор</x:v>
      </x:c>
      <x:c r="G19" t="n">
        <x:v>46</x:v>
      </x:c>
      <x:c r="H19" t="n">
        <x:v>26</x:v>
      </x:c>
    </x:row>
    <x:row r="20">
      <x:c r="A20" t="str">
        <x:v>ТЕР-019</x:v>
      </x:c>
      <x:c r="B20" t="str">
        <x:v>Термины и роли по теме «матрица ролей» №19</x:v>
      </x:c>
      <x:c r="C20" t="str">
        <x:v>Средний</x:v>
      </x:c>
      <x:c r="D20" t="str">
        <x:v>Требует уточнения</x:v>
      </x:c>
      <x:c r="E20" s="20" t="str">
        <x:v>2026-03-08</x:v>
      </x:c>
      <x:c r="F20" t="str">
        <x:v>Техподдержка</x:v>
      </x:c>
      <x:c r="G20" t="n">
        <x:v>48</x:v>
      </x:c>
      <x:c r="H20" t="n">
        <x:v>27</x:v>
      </x:c>
    </x:row>
    <x:row r="21">
      <x:c r="A21" t="str">
        <x:v>ТЕР-020</x:v>
      </x:c>
      <x:c r="B21" t="str">
        <x:v>Термины и роли по теме «матрица ролей» №20</x:v>
      </x:c>
      <x:c r="C21" t="str">
        <x:v>Низкий</x:v>
      </x:c>
      <x:c r="D21" t="str">
        <x:v>Запланировано</x:v>
      </x:c>
      <x:c r="E21" s="20" t="str">
        <x:v>2026-03-11</x:v>
      </x:c>
      <x:c r="F21" t="str">
        <x:v>Инженер</x:v>
      </x:c>
      <x:c r="G21" t="n">
        <x:v>50</x:v>
      </x:c>
      <x:c r="H21" t="n">
        <x:v>28</x:v>
      </x:c>
    </x:row>
  </x:sheetData>
  <x:pageMargins left="0.7" right="0.7" top="0.75" bottom="0.75" header="0.3" footer="0.3"/>
  <x:tableParts count="1">
    <x:tablePart xmlns:r="http://schemas.openxmlformats.org/officeDocument/2006/relationships" r:id="Rff411aca6c2e45a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.649999618530273" hidden="0" customWidth="1"/>
    <x:col min="2" max="2" width="30" hidden="0" customWidth="1"/>
    <x:col min="3" max="3" width="30" hidden="0" customWidth="1"/>
    <x:col min="4" max="4" width="30" hidden="0" customWidth="1"/>
  </x:cols>
  <x:sheetData>
    <x:row r="1">
      <x:c r="A1" s="18" t="str">
        <x:v>Поле</x:v>
      </x:c>
      <x:c r="B1" s="18" t="str">
        <x:v>Описание</x:v>
      </x:c>
      <x:c r="C1" s="18" t="str">
        <x:v>Правило заполнения</x:v>
      </x:c>
      <x:c r="D1" s="18" t="str">
        <x:v>Пример</x:v>
      </x:c>
    </x:row>
    <x:row r="2">
      <x:c r="A2" t="str">
        <x:v>Код</x:v>
      </x:c>
      <x:c r="B2" s="14" t="str">
        <x:v>Уникальный код строки</x:v>
      </x:c>
      <x:c r="C2" s="14" t="str">
        <x:v>Заполняется автоматически или вручную</x:v>
      </x:c>
      <x:c r="D2" s="14" t="str">
        <x:v>REQ-001</x:v>
      </x:c>
    </x:row>
    <x:row r="3">
      <x:c r="A3" t="str">
        <x:v>Наименование</x:v>
      </x:c>
      <x:c r="B3" s="14" t="str">
        <x:v>Краткое содержание записи</x:v>
      </x:c>
      <x:c r="C3" s="14" t="str">
        <x:v>Не пустое значение</x:v>
      </x:c>
      <x:c r="D3" s="14" t="str">
        <x:v>Проверить доступность сервиса</x:v>
      </x:c>
    </x:row>
    <x:row r="4">
      <x:c r="A4" t="str">
        <x:v>Приоритет</x:v>
      </x:c>
      <x:c r="B4" s="14" t="str">
        <x:v>Важность записи</x:v>
      </x:c>
      <x:c r="C4" s="14" t="str">
        <x:v>Высокий/Средний/Низкий</x:v>
      </x:c>
      <x:c r="D4" s="14" t="str">
        <x:v>Высокий</x:v>
      </x:c>
    </x:row>
    <x:row r="5">
      <x:c r="A5" t="str">
        <x:v>Статус</x:v>
      </x:c>
      <x:c r="B5" s="14" t="str">
        <x:v>Текущее состояние</x:v>
      </x:c>
      <x:c r="C5" s="14" t="str">
        <x:v>Запланировано/В работе/Проверено/Требует уточнения</x:v>
      </x:c>
      <x:c r="D5" s="14" t="str">
        <x:v>Проверено</x:v>
      </x:c>
    </x:row>
    <x:row r="6">
      <x:c r="A6" t="str">
        <x:v>Дата контроля</x:v>
      </x:c>
      <x:c r="B6" s="14" t="str">
        <x:v>Дата плановой или фактической проверки</x:v>
      </x:c>
      <x:c r="C6" s="14" t="str">
        <x:v>Формат даты</x:v>
      </x:c>
      <x:c r="D6" s="14" t="str">
        <x:v>2026-05-12</x:v>
      </x:c>
    </x:row>
    <x:row r="7">
      <x:c r="A7" t="str">
        <x:v>Ответственный</x:v>
      </x:c>
      <x:c r="B7" s="14" t="str">
        <x:v>Роль исполнителя</x:v>
      </x:c>
      <x:c r="C7" s="14" t="str">
        <x:v>Из справочника ролей</x:v>
      </x:c>
      <x:c r="D7" s="14" t="str">
        <x:v>Инженер</x:v>
      </x:c>
    </x:row>
    <x:row r="8">
      <x:c r="A8" t="str">
        <x:v>План, ч</x:v>
      </x:c>
      <x:c r="B8" s="14" t="str">
        <x:v>Плановые трудозатраты</x:v>
      </x:c>
      <x:c r="C8" s="14" t="str">
        <x:v>Число</x:v>
      </x:c>
      <x:c r="D8" s="14" t="str">
        <x:v>12</x:v>
      </x:c>
    </x:row>
    <x:row r="9">
      <x:c r="A9" t="str">
        <x:v>Факт, ч</x:v>
      </x:c>
      <x:c r="B9" s="14" t="str">
        <x:v>Фактические трудозатраты</x:v>
      </x:c>
      <x:c r="C9" s="14" t="str">
        <x:v>Число</x:v>
      </x:c>
      <x:c r="D9" s="14" t="str">
        <x:v>10</x:v>
      </x:c>
    </x:row>
  </x:sheetData>
  <x:pageMargins left="0.7" right="0.7" top="0.75" bottom="0.75" header="0.3" footer="0.3"/>
</x:worksheet>
</file>